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g_b\Downloads\"/>
    </mc:Choice>
  </mc:AlternateContent>
  <xr:revisionPtr revIDLastSave="0" documentId="13_ncr:1_{62F16A46-0672-4103-B71F-DE129D8143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Genes_interes" sheetId="2" r:id="rId2"/>
    <sheet name="IAGe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2" i="1" s="1"/>
  <c r="B10" i="1" l="1"/>
  <c r="B11" i="1"/>
</calcChain>
</file>

<file path=xl/sharedStrings.xml><?xml version="1.0" encoding="utf-8"?>
<sst xmlns="http://schemas.openxmlformats.org/spreadsheetml/2006/main" count="74" uniqueCount="59">
  <si>
    <t>Práctica de pangenómica — Hoja de resultados</t>
  </si>
  <si>
    <t>Métrica</t>
  </si>
  <si>
    <t>Referencia / comparación</t>
  </si>
  <si>
    <t>Interpretación breve</t>
  </si>
  <si>
    <t>Core families</t>
  </si>
  <si>
    <t>PUBLISHED real: 3,831 (45.5%)</t>
  </si>
  <si>
    <t>Shell families</t>
  </si>
  <si>
    <t>PUBLISHED real: 2,182 (25.9%)</t>
  </si>
  <si>
    <t>Cloud families</t>
  </si>
  <si>
    <t>PUBLISHED real: 2,416 (28.7%)</t>
  </si>
  <si>
    <t>Total teaching pangenome</t>
  </si>
  <si>
    <t>PUBLISHED real: 8,429</t>
  </si>
  <si>
    <t>% Core</t>
  </si>
  <si>
    <t>% Shell</t>
  </si>
  <si>
    <t>% Cloud</t>
  </si>
  <si>
    <t>Sesión 2 — Acumulación</t>
  </si>
  <si>
    <t>Pangenome after 16 genomes</t>
  </si>
  <si>
    <t>Published curve approached a plateau</t>
  </si>
  <si>
    <t>Core after 16 genomes</t>
  </si>
  <si>
    <t>Published core = 3,831 families</t>
  </si>
  <si>
    <t>Shape of pangenome curve</t>
  </si>
  <si>
    <t>Marginally closed in article (Heaps α≈1.000004)</t>
  </si>
  <si>
    <t>Would you call the teaching pangenome open/closed?</t>
  </si>
  <si>
    <t>Sesión 3 — Gene-content similarity</t>
  </si>
  <si>
    <t>Most similar genome pair</t>
  </si>
  <si>
    <t>Use Jaccard distance</t>
  </si>
  <si>
    <t>Jaccard distance of that pair</t>
  </si>
  <si>
    <t>0 = identical content; 1 = no shared families</t>
  </si>
  <si>
    <t>Number of major clusters observed</t>
  </si>
  <si>
    <t>Compare only with TEACHING control</t>
  </si>
  <si>
    <t>Why is this not automatically a phylogeny?</t>
  </si>
  <si>
    <t>Sesión 4 — Biological interpretation</t>
  </si>
  <si>
    <t>Pregunta</t>
  </si>
  <si>
    <t>Respuesta del equipo</t>
  </si>
  <si>
    <t>Recordatorio</t>
  </si>
  <si>
    <t>Proceso(s) evolutivo(s) más relevantes</t>
  </si>
  <si>
    <t>loss / gain / HGT / duplication-CNV</t>
  </si>
  <si>
    <t>Principal limitación inferencial</t>
  </si>
  <si>
    <t>presence ≠ causality; multiple testing</t>
  </si>
  <si>
    <t>Respuesta final en una oración</t>
  </si>
  <si>
    <t>What can a pangenome reveal beyond one reference?</t>
  </si>
  <si>
    <t>Feature</t>
  </si>
  <si>
    <t>Frequency (n/16)</t>
  </si>
  <si>
    <t>Functional context</t>
  </si>
  <si>
    <t>Evolutionary process proposed</t>
  </si>
  <si>
    <t>Evidence supporting interpretation</t>
  </si>
  <si>
    <t>Additional evidence needed</t>
  </si>
  <si>
    <t>Causal claim?</t>
  </si>
  <si>
    <t>No</t>
  </si>
  <si>
    <t>Declaración de uso de IAGen</t>
  </si>
  <si>
    <t>¿Se utilizó IAGen?</t>
  </si>
  <si>
    <t>Herramienta</t>
  </si>
  <si>
    <t>Finalidad</t>
  </si>
  <si>
    <t>Qué información se obtuvo</t>
  </si>
  <si>
    <t>Cómo se verificó críticamente</t>
  </si>
  <si>
    <t>Qué partes del trabajo son propias del equipo</t>
  </si>
  <si>
    <t>Resultado de la práctica</t>
  </si>
  <si>
    <t>Sesión 1 — Composición del pangenoma (matriz didáctica)</t>
  </si>
  <si>
    <t>Sección 4 — Características publicadas seleccionadas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</si>
</sst>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39" sqref="C39"/>
    </sheetView>
  </sheetViews>
  <sheetFormatPr defaultRowHeight="13.8"/>
  <cols>
    <col min="1" max="1" width="27" customWidth="1"/>
    <col min="2" max="2" width="26" customWidth="1"/>
    <col min="3" max="3" width="34" customWidth="1"/>
    <col min="4" max="4" width="38" customWidth="1"/>
  </cols>
  <sheetData>
    <row r="1" spans="1:4" ht="22.35" customHeight="1">
      <c r="A1" s="5" t="s">
        <v>0</v>
      </c>
      <c r="B1" s="5"/>
      <c r="C1" s="5"/>
      <c r="D1" s="5"/>
    </row>
    <row r="2" spans="1:4">
      <c r="A2" s="1"/>
      <c r="B2" s="1"/>
      <c r="C2" s="1"/>
      <c r="D2" s="1"/>
    </row>
    <row r="3" spans="1:4">
      <c r="A3" s="1"/>
      <c r="B3" s="1"/>
      <c r="C3" s="1"/>
      <c r="D3" s="1"/>
    </row>
    <row r="4" spans="1:4">
      <c r="A4" s="6" t="s">
        <v>57</v>
      </c>
      <c r="B4" s="6"/>
      <c r="C4" s="6"/>
      <c r="D4" s="6"/>
    </row>
    <row r="5" spans="1:4">
      <c r="A5" s="2" t="s">
        <v>1</v>
      </c>
      <c r="B5" s="2" t="s">
        <v>56</v>
      </c>
      <c r="C5" s="2" t="s">
        <v>2</v>
      </c>
      <c r="D5" s="2" t="s">
        <v>3</v>
      </c>
    </row>
    <row r="6" spans="1:4">
      <c r="A6" s="1" t="s">
        <v>4</v>
      </c>
      <c r="B6" s="1"/>
      <c r="C6" s="1" t="s">
        <v>5</v>
      </c>
      <c r="D6" s="1"/>
    </row>
    <row r="7" spans="1:4">
      <c r="A7" s="1" t="s">
        <v>6</v>
      </c>
      <c r="B7" s="1"/>
      <c r="C7" s="1" t="s">
        <v>7</v>
      </c>
      <c r="D7" s="1"/>
    </row>
    <row r="8" spans="1:4">
      <c r="A8" s="1" t="s">
        <v>8</v>
      </c>
      <c r="B8" s="1"/>
      <c r="C8" s="1" t="s">
        <v>9</v>
      </c>
      <c r="D8" s="1"/>
    </row>
    <row r="9" spans="1:4">
      <c r="A9" s="1" t="s">
        <v>10</v>
      </c>
      <c r="B9" s="1" t="str">
        <f>IF(COUNTA(B6:B8)=0,"",SUM(B6:B8))</f>
        <v/>
      </c>
      <c r="C9" s="1" t="s">
        <v>11</v>
      </c>
      <c r="D9" s="1"/>
    </row>
    <row r="10" spans="1:4">
      <c r="A10" s="1" t="s">
        <v>12</v>
      </c>
      <c r="B10" s="4" t="e">
        <f>IF(B9&gt;0,B6/B9,"")</f>
        <v>#VALUE!</v>
      </c>
      <c r="C10" s="1"/>
      <c r="D10" s="1"/>
    </row>
    <row r="11" spans="1:4">
      <c r="A11" s="1" t="s">
        <v>13</v>
      </c>
      <c r="B11" s="4" t="e">
        <f>IF(B9&gt;0,B7/B9,"")</f>
        <v>#VALUE!</v>
      </c>
      <c r="C11" s="1"/>
      <c r="D11" s="1"/>
    </row>
    <row r="12" spans="1:4">
      <c r="A12" s="1" t="s">
        <v>14</v>
      </c>
      <c r="B12" s="4" t="e">
        <f>IF(B9&gt;0,B8/B9,"")</f>
        <v>#VALUE!</v>
      </c>
      <c r="C12" s="1"/>
      <c r="D12" s="1"/>
    </row>
    <row r="13" spans="1:4">
      <c r="A13" s="1"/>
      <c r="B13" s="1"/>
      <c r="C13" s="1"/>
      <c r="D13" s="1"/>
    </row>
    <row r="14" spans="1:4">
      <c r="A14" s="6" t="s">
        <v>15</v>
      </c>
      <c r="B14" s="6"/>
      <c r="C14" s="6"/>
      <c r="D14" s="6"/>
    </row>
    <row r="15" spans="1:4">
      <c r="A15" s="2" t="s">
        <v>1</v>
      </c>
      <c r="B15" s="2" t="s">
        <v>56</v>
      </c>
      <c r="C15" s="2" t="s">
        <v>2</v>
      </c>
      <c r="D15" s="2" t="s">
        <v>3</v>
      </c>
    </row>
    <row r="16" spans="1:4">
      <c r="A16" s="1" t="s">
        <v>16</v>
      </c>
      <c r="B16" s="1"/>
      <c r="C16" s="1" t="s">
        <v>17</v>
      </c>
      <c r="D16" s="1"/>
    </row>
    <row r="17" spans="1:4">
      <c r="A17" s="1" t="s">
        <v>18</v>
      </c>
      <c r="B17" s="1"/>
      <c r="C17" s="1" t="s">
        <v>19</v>
      </c>
      <c r="D17" s="1"/>
    </row>
    <row r="18" spans="1:4" ht="27.6">
      <c r="A18" s="1" t="s">
        <v>20</v>
      </c>
      <c r="B18" s="1"/>
      <c r="C18" s="1" t="s">
        <v>21</v>
      </c>
      <c r="D18" s="1"/>
    </row>
    <row r="19" spans="1:4" ht="27.6">
      <c r="A19" s="1" t="s">
        <v>22</v>
      </c>
      <c r="B19" s="1"/>
      <c r="C19" s="1"/>
      <c r="D19" s="1"/>
    </row>
    <row r="20" spans="1:4">
      <c r="A20" s="1"/>
      <c r="B20" s="1"/>
      <c r="C20" s="1"/>
      <c r="D20" s="1"/>
    </row>
    <row r="21" spans="1:4">
      <c r="A21" s="6" t="s">
        <v>23</v>
      </c>
      <c r="B21" s="6"/>
      <c r="C21" s="6"/>
      <c r="D21" s="6"/>
    </row>
    <row r="22" spans="1:4">
      <c r="A22" s="2" t="s">
        <v>1</v>
      </c>
      <c r="B22" s="2" t="s">
        <v>56</v>
      </c>
      <c r="C22" s="2" t="s">
        <v>2</v>
      </c>
      <c r="D22" s="2" t="s">
        <v>3</v>
      </c>
    </row>
    <row r="23" spans="1:4">
      <c r="A23" s="1" t="s">
        <v>24</v>
      </c>
      <c r="B23" s="1"/>
      <c r="C23" s="1" t="s">
        <v>25</v>
      </c>
      <c r="D23" s="1"/>
    </row>
    <row r="24" spans="1:4" ht="27.6">
      <c r="A24" s="1" t="s">
        <v>26</v>
      </c>
      <c r="B24" s="1"/>
      <c r="C24" s="1" t="s">
        <v>27</v>
      </c>
      <c r="D24" s="1"/>
    </row>
    <row r="25" spans="1:4" ht="27.6">
      <c r="A25" s="1" t="s">
        <v>28</v>
      </c>
      <c r="B25" s="1"/>
      <c r="C25" s="1" t="s">
        <v>29</v>
      </c>
      <c r="D25" s="1"/>
    </row>
    <row r="26" spans="1:4" ht="27.6">
      <c r="A26" s="1" t="s">
        <v>30</v>
      </c>
      <c r="B26" s="1"/>
      <c r="C26" s="1"/>
      <c r="D26" s="1"/>
    </row>
    <row r="27" spans="1:4">
      <c r="A27" s="1"/>
      <c r="B27" s="1"/>
      <c r="C27" s="1"/>
      <c r="D27" s="1"/>
    </row>
    <row r="28" spans="1:4">
      <c r="A28" s="6" t="s">
        <v>31</v>
      </c>
      <c r="B28" s="6"/>
      <c r="C28" s="6"/>
      <c r="D28" s="6"/>
    </row>
    <row r="29" spans="1:4">
      <c r="A29" s="2" t="s">
        <v>32</v>
      </c>
      <c r="B29" s="2" t="s">
        <v>33</v>
      </c>
      <c r="C29" s="2" t="s">
        <v>34</v>
      </c>
      <c r="D29" s="2"/>
    </row>
    <row r="30" spans="1:4" ht="27.6">
      <c r="A30" s="1" t="s">
        <v>35</v>
      </c>
      <c r="B30" s="1"/>
      <c r="C30" s="1" t="s">
        <v>36</v>
      </c>
      <c r="D30" s="1"/>
    </row>
    <row r="31" spans="1:4">
      <c r="A31" s="1" t="s">
        <v>37</v>
      </c>
      <c r="B31" s="1"/>
      <c r="C31" s="1" t="s">
        <v>38</v>
      </c>
      <c r="D31" s="1"/>
    </row>
    <row r="32" spans="1:4" ht="27.6">
      <c r="A32" s="1" t="s">
        <v>39</v>
      </c>
      <c r="B32" s="1"/>
      <c r="C32" s="1" t="s">
        <v>40</v>
      </c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</sheetData>
  <mergeCells count="5">
    <mergeCell ref="A1:D1"/>
    <mergeCell ref="A4:D4"/>
    <mergeCell ref="A14:D14"/>
    <mergeCell ref="A21:D21"/>
    <mergeCell ref="A28:D28"/>
  </mergeCells>
  <conditionalFormatting sqref="B10:B12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{DA12C461-A72D-FADC-ED1B-42B2A151D9C7}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12C461-A72D-FADC-ED1B-42B2A151D9C7}">
            <x14:dataBar>
              <x14:cfvo type="min"/>
              <x14:cfvo type="max"/>
              <x14:negativeFillColor auto="1"/>
              <x14:axisColor auto="1"/>
            </x14:dataBar>
          </x14:cfRule>
          <xm:sqref>B10:B12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A3" sqref="A3"/>
    </sheetView>
  </sheetViews>
  <sheetFormatPr defaultRowHeight="13.8"/>
  <cols>
    <col min="1" max="1" width="24" customWidth="1"/>
    <col min="2" max="2" width="16" customWidth="1"/>
    <col min="3" max="4" width="28" customWidth="1"/>
    <col min="5" max="6" width="34" customWidth="1"/>
    <col min="7" max="7" width="20" customWidth="1"/>
  </cols>
  <sheetData>
    <row r="1" spans="1:7">
      <c r="A1" s="5" t="s">
        <v>58</v>
      </c>
      <c r="B1" s="5"/>
      <c r="C1" s="5"/>
      <c r="D1" s="5"/>
      <c r="E1" s="5"/>
      <c r="F1" s="5"/>
      <c r="G1" s="5"/>
    </row>
    <row r="2" spans="1:7">
      <c r="A2" s="1"/>
      <c r="B2" s="1"/>
      <c r="C2" s="1"/>
      <c r="D2" s="1"/>
      <c r="E2" s="1"/>
      <c r="F2" s="1"/>
      <c r="G2" s="1"/>
    </row>
    <row r="3" spans="1:7" ht="27.6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</row>
    <row r="4" spans="1:7">
      <c r="A4" s="1"/>
      <c r="B4" s="1"/>
      <c r="C4" s="1"/>
      <c r="D4" s="1"/>
      <c r="E4" s="1"/>
      <c r="F4" s="1"/>
      <c r="G4" s="1" t="s">
        <v>48</v>
      </c>
    </row>
    <row r="5" spans="1:7">
      <c r="A5" s="1"/>
      <c r="B5" s="1"/>
      <c r="C5" s="1"/>
      <c r="D5" s="1"/>
      <c r="E5" s="1"/>
      <c r="F5" s="1"/>
      <c r="G5" s="1" t="s">
        <v>48</v>
      </c>
    </row>
    <row r="6" spans="1:7">
      <c r="A6" s="1"/>
      <c r="B6" s="1"/>
      <c r="C6" s="1"/>
      <c r="D6" s="1"/>
      <c r="E6" s="1"/>
      <c r="F6" s="1"/>
      <c r="G6" s="1" t="s">
        <v>48</v>
      </c>
    </row>
    <row r="7" spans="1:7">
      <c r="A7" s="1"/>
      <c r="B7" s="1"/>
      <c r="C7" s="1"/>
      <c r="D7" s="1"/>
      <c r="E7" s="1"/>
      <c r="F7" s="1"/>
      <c r="G7" s="1" t="s">
        <v>48</v>
      </c>
    </row>
    <row r="8" spans="1:7">
      <c r="A8" s="1"/>
      <c r="B8" s="1"/>
      <c r="C8" s="1"/>
      <c r="D8" s="1"/>
      <c r="E8" s="1"/>
      <c r="F8" s="1"/>
      <c r="G8" s="1" t="s">
        <v>48</v>
      </c>
    </row>
    <row r="9" spans="1:7">
      <c r="A9" s="1"/>
      <c r="B9" s="1"/>
      <c r="C9" s="1"/>
      <c r="D9" s="1"/>
      <c r="E9" s="1"/>
      <c r="F9" s="1"/>
      <c r="G9" s="1" t="s">
        <v>48</v>
      </c>
    </row>
    <row r="10" spans="1:7">
      <c r="A10" s="1"/>
      <c r="B10" s="1"/>
      <c r="C10" s="1"/>
      <c r="D10" s="1"/>
      <c r="E10" s="1"/>
      <c r="F10" s="1"/>
      <c r="G10" s="1" t="s">
        <v>48</v>
      </c>
    </row>
    <row r="11" spans="1:7">
      <c r="A11" s="1"/>
      <c r="B11" s="1"/>
      <c r="C11" s="1"/>
      <c r="D11" s="1"/>
      <c r="E11" s="1"/>
      <c r="F11" s="1"/>
      <c r="G11" s="1" t="s">
        <v>48</v>
      </c>
    </row>
  </sheetData>
  <mergeCells count="1">
    <mergeCell ref="A1:G1"/>
  </mergeCells>
  <dataValidations count="1">
    <dataValidation type="list" sqref="G4:G11" xr:uid="{00000000-0002-0000-0100-000000000000}">
      <formula1>"No,Only with direct evidence"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sqref="A1:B1"/>
    </sheetView>
  </sheetViews>
  <sheetFormatPr defaultRowHeight="13.8"/>
  <cols>
    <col min="1" max="1" width="35" customWidth="1"/>
    <col min="2" max="2" width="75" customWidth="1"/>
  </cols>
  <sheetData>
    <row r="1" spans="1:2">
      <c r="A1" s="7" t="s">
        <v>49</v>
      </c>
      <c r="B1" s="7"/>
    </row>
    <row r="3" spans="1:2">
      <c r="A3" s="3" t="s">
        <v>50</v>
      </c>
      <c r="B3" s="1"/>
    </row>
    <row r="4" spans="1:2">
      <c r="A4" s="3" t="s">
        <v>51</v>
      </c>
      <c r="B4" s="1"/>
    </row>
    <row r="5" spans="1:2" ht="38.4" customHeight="1">
      <c r="A5" s="3" t="s">
        <v>52</v>
      </c>
      <c r="B5" s="1"/>
    </row>
    <row r="6" spans="1:2" ht="38.4" customHeight="1">
      <c r="A6" s="3" t="s">
        <v>53</v>
      </c>
      <c r="B6" s="1"/>
    </row>
    <row r="7" spans="1:2" ht="38.4" customHeight="1">
      <c r="A7" s="3" t="s">
        <v>54</v>
      </c>
      <c r="B7" s="1"/>
    </row>
    <row r="8" spans="1:2" ht="38.4" customHeight="1">
      <c r="A8" s="3" t="s">
        <v>55</v>
      </c>
      <c r="B8" s="1"/>
    </row>
  </sheetData>
  <mergeCells count="1">
    <mergeCell ref="A1:B1"/>
  </mergeCells>
  <dataValidations count="1">
    <dataValidation type="list" sqref="B3" xr:uid="{00000000-0002-0000-0300-000000000000}">
      <formula1>"No,Sí"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Genes_interes</vt:lpstr>
      <vt:lpstr>IAGen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Rodrigo Arce Valdes</cp:lastModifiedBy>
  <dcterms:modified xsi:type="dcterms:W3CDTF">2026-10-12T01:53:32Z</dcterms:modified>
</cp:coreProperties>
</file>